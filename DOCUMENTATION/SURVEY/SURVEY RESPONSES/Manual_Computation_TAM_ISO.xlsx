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 Manual Computation" sheetId="1" state="visible" r:id="rId1"/>
    <sheet xmlns:r="http://schemas.openxmlformats.org/officeDocument/2006/relationships" name="ISO 25010 Manual Compu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color rgb="001F4E79"/>
      <sz val="10"/>
    </font>
    <font>
      <b val="1"/>
      <color rgb="00000000"/>
      <sz val="10"/>
    </font>
    <font>
      <color rgb="00000000"/>
      <sz val="10"/>
    </font>
    <font>
      <color rgb="00000000"/>
      <sz val="9"/>
    </font>
    <font>
      <b val="1"/>
      <color rgb="00000000"/>
      <sz val="9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6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13" customWidth="1" min="8" max="8"/>
    <col width="11" customWidth="1" min="9" max="9"/>
    <col width="22" customWidth="1" min="10" max="10"/>
  </cols>
  <sheetData>
    <row r="1" ht="28" customHeight="1">
      <c r="A1" s="1" t="inlineStr">
        <is>
          <t>Technology Acceptance Model (TAM) Evaluation – Manual Computation  (n = 27)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Weighted Sum = (5×f5) + (4×f4) + (3×f3) + (2×f2) + (1×f1)     |     Weighted Mean = Weighted Sum ÷ 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Scale: 4.51–5.00 = Highly Acceptable  |  3.51–4.50 = Acceptable  |  2.51–3.50 = Moderately Acceptable  |  1.51–2.50 = Slightly Acceptable  |  1.00–1.50 = Not Acceptable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5" t="inlineStr">
        <is>
          <t>No.</t>
        </is>
      </c>
      <c r="B4" s="5" t="inlineStr">
        <is>
          <t>Statement / Indicator</t>
        </is>
      </c>
      <c r="C4" s="5" t="inlineStr">
        <is>
          <t>5</t>
        </is>
      </c>
      <c r="D4" s="5" t="inlineStr">
        <is>
          <t>4</t>
        </is>
      </c>
      <c r="E4" s="5" t="inlineStr">
        <is>
          <t>3</t>
        </is>
      </c>
      <c r="F4" s="5" t="inlineStr">
        <is>
          <t>2</t>
        </is>
      </c>
      <c r="G4" s="5" t="inlineStr">
        <is>
          <t>1</t>
        </is>
      </c>
      <c r="H4" s="5" t="inlineStr">
        <is>
          <t>Weighted
Sum</t>
        </is>
      </c>
      <c r="I4" s="5" t="inlineStr">
        <is>
          <t>Weighted
Mean</t>
        </is>
      </c>
      <c r="J4" s="5" t="inlineStr">
        <is>
          <t>Verbal
Interpretation</t>
        </is>
      </c>
    </row>
    <row r="5" ht="18" customHeight="1">
      <c r="A5" s="6" t="inlineStr">
        <is>
          <t>A. Perceived Usefulness (PU)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7" t="inlineStr">
        <is>
          <t>PU1</t>
        </is>
      </c>
      <c r="B6" s="8" t="inlineStr">
        <is>
          <t>Using this system improves my performance in accomplishing job referral and job-matching tasks.</t>
        </is>
      </c>
      <c r="C6" s="9" t="n">
        <v>19</v>
      </c>
      <c r="D6" s="9" t="n">
        <v>7</v>
      </c>
      <c r="E6" s="9" t="n">
        <v>1</v>
      </c>
      <c r="F6" s="9" t="n">
        <v>0</v>
      </c>
      <c r="G6" s="9" t="n">
        <v>0</v>
      </c>
      <c r="H6" s="9">
        <f>5*C6+4*D6+3*E6+2*F6+1*G6</f>
        <v/>
      </c>
      <c r="I6" s="10">
        <f>H6/27</f>
        <v/>
      </c>
      <c r="J6" s="11">
        <f>IF(I6&gt;=4.51,"Highly Acceptable",IF(I6&gt;=3.51,"Acceptable",IF(I6&gt;=2.51,"Moderately Acceptable",IF(I6&gt;=1.51,"Slightly Acceptable","Not Acceptable"))))</f>
        <v/>
      </c>
    </row>
    <row r="7" ht="30" customHeight="1">
      <c r="A7" s="12" t="inlineStr">
        <is>
          <t>PU2</t>
        </is>
      </c>
      <c r="B7" s="13" t="inlineStr">
        <is>
          <t>Using this system increases my productivity when finding and applying to suitable job vacancies.</t>
        </is>
      </c>
      <c r="C7" s="14" t="n">
        <v>16</v>
      </c>
      <c r="D7" s="14" t="n">
        <v>9</v>
      </c>
      <c r="E7" s="14" t="n">
        <v>2</v>
      </c>
      <c r="F7" s="14" t="n">
        <v>0</v>
      </c>
      <c r="G7" s="14" t="n">
        <v>0</v>
      </c>
      <c r="H7" s="14">
        <f>5*C7+4*D7+3*E7+2*F7+1*G7</f>
        <v/>
      </c>
      <c r="I7" s="15">
        <f>H7/27</f>
        <v/>
      </c>
      <c r="J7" s="16">
        <f>IF(I7&gt;=4.51,"Highly Acceptable",IF(I7&gt;=3.51,"Acceptable",IF(I7&gt;=2.51,"Moderately Acceptable",IF(I7&gt;=1.51,"Slightly Acceptable","Not Acceptable"))))</f>
        <v/>
      </c>
    </row>
    <row r="8" ht="30" customHeight="1">
      <c r="A8" s="7" t="inlineStr">
        <is>
          <t>PU3</t>
        </is>
      </c>
      <c r="B8" s="8" t="inlineStr">
        <is>
          <t>This system helps me identify suitable job category matches for a jobseeker more quickly.</t>
        </is>
      </c>
      <c r="C8" s="9" t="n">
        <v>21</v>
      </c>
      <c r="D8" s="9" t="n">
        <v>4</v>
      </c>
      <c r="E8" s="9" t="n">
        <v>2</v>
      </c>
      <c r="F8" s="9" t="n">
        <v>0</v>
      </c>
      <c r="G8" s="9" t="n">
        <v>0</v>
      </c>
      <c r="H8" s="9">
        <f>5*C8+4*D8+3*E8+2*F8+1*G8</f>
        <v/>
      </c>
      <c r="I8" s="10">
        <f>H8/27</f>
        <v/>
      </c>
      <c r="J8" s="11">
        <f>IF(I8&gt;=4.51,"Highly Acceptable",IF(I8&gt;=3.51,"Acceptable",IF(I8&gt;=2.51,"Moderately Acceptable",IF(I8&gt;=1.51,"Slightly Acceptable","Not Acceptable"))))</f>
        <v/>
      </c>
    </row>
    <row r="9" ht="30" customHeight="1">
      <c r="A9" s="12" t="inlineStr">
        <is>
          <t>PU4</t>
        </is>
      </c>
      <c r="B9" s="13" t="inlineStr">
        <is>
          <t>This system is useful for generating job category recommendations for jobseekers.</t>
        </is>
      </c>
      <c r="C9" s="14" t="n">
        <v>20</v>
      </c>
      <c r="D9" s="14" t="n">
        <v>6</v>
      </c>
      <c r="E9" s="14" t="n">
        <v>1</v>
      </c>
      <c r="F9" s="14" t="n">
        <v>0</v>
      </c>
      <c r="G9" s="14" t="n">
        <v>0</v>
      </c>
      <c r="H9" s="14">
        <f>5*C9+4*D9+3*E9+2*F9+1*G9</f>
        <v/>
      </c>
      <c r="I9" s="15">
        <f>H9/27</f>
        <v/>
      </c>
      <c r="J9" s="16">
        <f>IF(I9&gt;=4.51,"Highly Acceptable",IF(I9&gt;=3.51,"Acceptable",IF(I9&gt;=2.51,"Moderately Acceptable",IF(I9&gt;=1.51,"Slightly Acceptable","Not Acceptable"))))</f>
        <v/>
      </c>
    </row>
    <row r="10" ht="30" customHeight="1">
      <c r="A10" s="7" t="inlineStr">
        <is>
          <t>PU5</t>
        </is>
      </c>
      <c r="B10" s="8" t="inlineStr">
        <is>
          <t>Overall, I find this system beneficial for job referral and employment matching purposes.</t>
        </is>
      </c>
      <c r="C10" s="9" t="n">
        <v>17</v>
      </c>
      <c r="D10" s="9" t="n">
        <v>8</v>
      </c>
      <c r="E10" s="9" t="n">
        <v>2</v>
      </c>
      <c r="F10" s="9" t="n">
        <v>0</v>
      </c>
      <c r="G10" s="9" t="n">
        <v>0</v>
      </c>
      <c r="H10" s="9">
        <f>5*C10+4*D10+3*E10+2*F10+1*G10</f>
        <v/>
      </c>
      <c r="I10" s="10">
        <f>H10/27</f>
        <v/>
      </c>
      <c r="J10" s="11">
        <f>IF(I10&gt;=4.51,"Highly Acceptable",IF(I10&gt;=3.51,"Acceptable",IF(I10&gt;=2.51,"Moderately Acceptable",IF(I10&gt;=1.51,"Slightly Acceptable","Not Acceptable"))))</f>
        <v/>
      </c>
    </row>
    <row r="11" ht="20" customHeight="1">
      <c r="A11" s="17" t="inlineStr">
        <is>
          <t>Overall Mean – A. Perceived Usefulness (PU)</t>
        </is>
      </c>
      <c r="B11" s="18" t="n"/>
      <c r="C11" s="18" t="n"/>
      <c r="D11" s="18" t="n"/>
      <c r="E11" s="18" t="n"/>
      <c r="F11" s="18" t="n"/>
      <c r="G11" s="18" t="n"/>
      <c r="H11" s="19" t="inlineStr"/>
      <c r="I11" s="20">
        <f>AVERAGE(I6,I7,I8,I9,I10)</f>
        <v/>
      </c>
      <c r="J11" s="21">
        <f>IF(I11&gt;=4.51,"Highly Acceptable",IF(I11&gt;=3.51,"Acceptable",IF(I11&gt;=2.51,"Moderately Acceptable",IF(I11&gt;=1.51,"Slightly Acceptable","Not Acceptable"))))</f>
        <v/>
      </c>
    </row>
    <row r="12" ht="18" customHeight="1">
      <c r="A12" s="6" t="inlineStr">
        <is>
          <t>B. Perceived Ease of Use (PEOU)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30" customHeight="1">
      <c r="A13" s="7" t="inlineStr">
        <is>
          <t>PEOU1</t>
        </is>
      </c>
      <c r="B13" s="8" t="inlineStr">
        <is>
          <t>Learning to use this system's features, such as registering, encoding a profile, and generating job recommendations, was easy for me.</t>
        </is>
      </c>
      <c r="C13" s="9" t="n">
        <v>18</v>
      </c>
      <c r="D13" s="9" t="n">
        <v>7</v>
      </c>
      <c r="E13" s="9" t="n">
        <v>2</v>
      </c>
      <c r="F13" s="9" t="n">
        <v>0</v>
      </c>
      <c r="G13" s="9" t="n">
        <v>0</v>
      </c>
      <c r="H13" s="9">
        <f>5*C13+4*D13+3*E13+2*F13+1*G13</f>
        <v/>
      </c>
      <c r="I13" s="10">
        <f>H13/27</f>
        <v/>
      </c>
      <c r="J13" s="11">
        <f>IF(I13&gt;=4.51,"Highly Acceptable",IF(I13&gt;=3.51,"Acceptable",IF(I13&gt;=2.51,"Moderately Acceptable",IF(I13&gt;=1.51,"Slightly Acceptable","Not Acceptable"))))</f>
        <v/>
      </c>
    </row>
    <row r="14" ht="30" customHeight="1">
      <c r="A14" s="12" t="inlineStr">
        <is>
          <t>PEOU2</t>
        </is>
      </c>
      <c r="B14" s="13" t="inlineStr">
        <is>
          <t>I find it easy to navigate the system and perform tasks such as encoding a profile or viewing job recommendations.</t>
        </is>
      </c>
      <c r="C14" s="14" t="n">
        <v>18</v>
      </c>
      <c r="D14" s="14" t="n">
        <v>7</v>
      </c>
      <c r="E14" s="14" t="n">
        <v>2</v>
      </c>
      <c r="F14" s="14" t="n">
        <v>0</v>
      </c>
      <c r="G14" s="14" t="n">
        <v>0</v>
      </c>
      <c r="H14" s="14">
        <f>5*C14+4*D14+3*E14+2*F14+1*G14</f>
        <v/>
      </c>
      <c r="I14" s="15">
        <f>H14/27</f>
        <v/>
      </c>
      <c r="J14" s="16">
        <f>IF(I14&gt;=4.51,"Highly Acceptable",IF(I14&gt;=3.51,"Acceptable",IF(I14&gt;=2.51,"Moderately Acceptable",IF(I14&gt;=1.51,"Slightly Acceptable","Not Acceptable"))))</f>
        <v/>
      </c>
    </row>
    <row r="15" ht="30" customHeight="1">
      <c r="A15" s="7" t="inlineStr">
        <is>
          <t>PEOU3</t>
        </is>
      </c>
      <c r="B15" s="8" t="inlineStr">
        <is>
          <t>My interaction with the system, including its forms, navigation, and dashboard, is clear and understandable.</t>
        </is>
      </c>
      <c r="C15" s="9" t="n">
        <v>19</v>
      </c>
      <c r="D15" s="9" t="n">
        <v>6</v>
      </c>
      <c r="E15" s="9" t="n">
        <v>2</v>
      </c>
      <c r="F15" s="9" t="n">
        <v>0</v>
      </c>
      <c r="G15" s="9" t="n">
        <v>0</v>
      </c>
      <c r="H15" s="9">
        <f>5*C15+4*D15+3*E15+2*F15+1*G15</f>
        <v/>
      </c>
      <c r="I15" s="10">
        <f>H15/27</f>
        <v/>
      </c>
      <c r="J15" s="11">
        <f>IF(I15&gt;=4.51,"Highly Acceptable",IF(I15&gt;=3.51,"Acceptable",IF(I15&gt;=2.51,"Moderately Acceptable",IF(I15&gt;=1.51,"Slightly Acceptable","Not Acceptable"))))</f>
        <v/>
      </c>
    </row>
    <row r="16" ht="30" customHeight="1">
      <c r="A16" s="12" t="inlineStr">
        <is>
          <t>PEOU4</t>
        </is>
      </c>
      <c r="B16" s="13" t="inlineStr">
        <is>
          <t>I find the system easy to use overall.</t>
        </is>
      </c>
      <c r="C16" s="14" t="n">
        <v>17</v>
      </c>
      <c r="D16" s="14" t="n">
        <v>7</v>
      </c>
      <c r="E16" s="14" t="n">
        <v>3</v>
      </c>
      <c r="F16" s="14" t="n">
        <v>0</v>
      </c>
      <c r="G16" s="14" t="n">
        <v>0</v>
      </c>
      <c r="H16" s="14">
        <f>5*C16+4*D16+3*E16+2*F16+1*G16</f>
        <v/>
      </c>
      <c r="I16" s="15">
        <f>H16/27</f>
        <v/>
      </c>
      <c r="J16" s="16">
        <f>IF(I16&gt;=4.51,"Highly Acceptable",IF(I16&gt;=3.51,"Acceptable",IF(I16&gt;=2.51,"Moderately Acceptable",IF(I16&gt;=1.51,"Slightly Acceptable","Not Acceptable"))))</f>
        <v/>
      </c>
    </row>
    <row r="17" ht="30" customHeight="1">
      <c r="A17" s="7" t="inlineStr">
        <is>
          <t>PEOU5</t>
        </is>
      </c>
      <c r="B17" s="8" t="inlineStr">
        <is>
          <t>The system's interface (buttons, menus, navigation) is user-friendly.</t>
        </is>
      </c>
      <c r="C17" s="9" t="n">
        <v>17</v>
      </c>
      <c r="D17" s="9" t="n">
        <v>7</v>
      </c>
      <c r="E17" s="9" t="n">
        <v>2</v>
      </c>
      <c r="F17" s="9" t="n">
        <v>0</v>
      </c>
      <c r="G17" s="9" t="n">
        <v>1</v>
      </c>
      <c r="H17" s="9">
        <f>5*C17+4*D17+3*E17+2*F17+1*G17</f>
        <v/>
      </c>
      <c r="I17" s="10">
        <f>H17/27</f>
        <v/>
      </c>
      <c r="J17" s="11">
        <f>IF(I17&gt;=4.51,"Highly Acceptable",IF(I17&gt;=3.51,"Acceptable",IF(I17&gt;=2.51,"Moderately Acceptable",IF(I17&gt;=1.51,"Slightly Acceptable","Not Acceptable"))))</f>
        <v/>
      </c>
    </row>
    <row r="18" ht="20" customHeight="1">
      <c r="A18" s="17" t="inlineStr">
        <is>
          <t>Overall Mean – B. Perceived Ease of Use (PEOU)</t>
        </is>
      </c>
      <c r="B18" s="18" t="n"/>
      <c r="C18" s="18" t="n"/>
      <c r="D18" s="18" t="n"/>
      <c r="E18" s="18" t="n"/>
      <c r="F18" s="18" t="n"/>
      <c r="G18" s="18" t="n"/>
      <c r="H18" s="19" t="inlineStr"/>
      <c r="I18" s="20">
        <f>AVERAGE(I13,I14,I15,I16,I17)</f>
        <v/>
      </c>
      <c r="J18" s="21">
        <f>IF(I18&gt;=4.51,"Highly Acceptable",IF(I18&gt;=3.51,"Acceptable",IF(I18&gt;=2.51,"Moderately Acceptable",IF(I18&gt;=1.51,"Slightly Acceptable","Not Acceptable"))))</f>
        <v/>
      </c>
    </row>
    <row r="19" ht="18" customHeight="1">
      <c r="A19" s="6" t="inlineStr">
        <is>
          <t>C. Behavioral Intention to Use (BI)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30" customHeight="1">
      <c r="A20" s="7" t="inlineStr">
        <is>
          <t>BI1</t>
        </is>
      </c>
      <c r="B20" s="8" t="inlineStr">
        <is>
          <t>I intend to use this system regularly if it is made available.</t>
        </is>
      </c>
      <c r="C20" s="9" t="n">
        <v>17</v>
      </c>
      <c r="D20" s="9" t="n">
        <v>7</v>
      </c>
      <c r="E20" s="9" t="n">
        <v>3</v>
      </c>
      <c r="F20" s="9" t="n">
        <v>0</v>
      </c>
      <c r="G20" s="9" t="n">
        <v>0</v>
      </c>
      <c r="H20" s="9">
        <f>5*C20+4*D20+3*E20+2*F20+1*G20</f>
        <v/>
      </c>
      <c r="I20" s="10">
        <f>H20/27</f>
        <v/>
      </c>
      <c r="J20" s="11">
        <f>IF(I20&gt;=4.51,"Highly Acceptable",IF(I20&gt;=3.51,"Acceptable",IF(I20&gt;=2.51,"Moderately Acceptable",IF(I20&gt;=1.51,"Slightly Acceptable","Not Acceptable"))))</f>
        <v/>
      </c>
    </row>
    <row r="21" ht="30" customHeight="1">
      <c r="A21" s="12" t="inlineStr">
        <is>
          <t>BI2</t>
        </is>
      </c>
      <c r="B21" s="13" t="inlineStr">
        <is>
          <t>I would recommend this system to others who are looking for a job or who use PESO services.</t>
        </is>
      </c>
      <c r="C21" s="14" t="n">
        <v>18</v>
      </c>
      <c r="D21" s="14" t="n">
        <v>5</v>
      </c>
      <c r="E21" s="14" t="n">
        <v>4</v>
      </c>
      <c r="F21" s="14" t="n">
        <v>0</v>
      </c>
      <c r="G21" s="14" t="n">
        <v>0</v>
      </c>
      <c r="H21" s="14">
        <f>5*C21+4*D21+3*E21+2*F21+1*G21</f>
        <v/>
      </c>
      <c r="I21" s="15">
        <f>H21/27</f>
        <v/>
      </c>
      <c r="J21" s="16">
        <f>IF(I21&gt;=4.51,"Highly Acceptable",IF(I21&gt;=3.51,"Acceptable",IF(I21&gt;=2.51,"Moderately Acceptable",IF(I21&gt;=1.51,"Slightly Acceptable","Not Acceptable"))))</f>
        <v/>
      </c>
    </row>
    <row r="22" ht="30" customHeight="1">
      <c r="A22" s="7" t="inlineStr">
        <is>
          <t>BI3</t>
        </is>
      </c>
      <c r="B22" s="8" t="inlineStr">
        <is>
          <t>I plan to use this system regularly for job searching and referral if it becomes available.</t>
        </is>
      </c>
      <c r="C22" s="9" t="n">
        <v>17</v>
      </c>
      <c r="D22" s="9" t="n">
        <v>8</v>
      </c>
      <c r="E22" s="9" t="n">
        <v>2</v>
      </c>
      <c r="F22" s="9" t="n">
        <v>0</v>
      </c>
      <c r="G22" s="9" t="n">
        <v>0</v>
      </c>
      <c r="H22" s="9">
        <f>5*C22+4*D22+3*E22+2*F22+1*G22</f>
        <v/>
      </c>
      <c r="I22" s="10">
        <f>H22/27</f>
        <v/>
      </c>
      <c r="J22" s="11">
        <f>IF(I22&gt;=4.51,"Highly Acceptable",IF(I22&gt;=3.51,"Acceptable",IF(I22&gt;=2.51,"Moderately Acceptable",IF(I22&gt;=1.51,"Slightly Acceptable","Not Acceptable"))))</f>
        <v/>
      </c>
    </row>
    <row r="23" ht="30" customHeight="1">
      <c r="A23" s="12" t="inlineStr">
        <is>
          <t>BI4</t>
        </is>
      </c>
      <c r="B23" s="13" t="inlineStr">
        <is>
          <t>Given the chance, I would prefer using this system over manual or walk-in methods for job referral and job searching.</t>
        </is>
      </c>
      <c r="C23" s="14" t="n">
        <v>20</v>
      </c>
      <c r="D23" s="14" t="n">
        <v>3</v>
      </c>
      <c r="E23" s="14" t="n">
        <v>4</v>
      </c>
      <c r="F23" s="14" t="n">
        <v>0</v>
      </c>
      <c r="G23" s="14" t="n">
        <v>0</v>
      </c>
      <c r="H23" s="14">
        <f>5*C23+4*D23+3*E23+2*F23+1*G23</f>
        <v/>
      </c>
      <c r="I23" s="15">
        <f>H23/27</f>
        <v/>
      </c>
      <c r="J23" s="16">
        <f>IF(I23&gt;=4.51,"Highly Acceptable",IF(I23&gt;=3.51,"Acceptable",IF(I23&gt;=2.51,"Moderately Acceptable",IF(I23&gt;=1.51,"Slightly Acceptable","Not Acceptable"))))</f>
        <v/>
      </c>
    </row>
    <row r="24" ht="20" customHeight="1">
      <c r="A24" s="17" t="inlineStr">
        <is>
          <t>Overall Mean – C. Behavioral Intention to Use (BI)</t>
        </is>
      </c>
      <c r="B24" s="18" t="n"/>
      <c r="C24" s="18" t="n"/>
      <c r="D24" s="18" t="n"/>
      <c r="E24" s="18" t="n"/>
      <c r="F24" s="18" t="n"/>
      <c r="G24" s="18" t="n"/>
      <c r="H24" s="19" t="inlineStr"/>
      <c r="I24" s="20">
        <f>AVERAGE(I20,I21,I22,I23)</f>
        <v/>
      </c>
      <c r="J24" s="21">
        <f>IF(I24&gt;=4.51,"Highly Acceptable",IF(I24&gt;=3.51,"Acceptable",IF(I24&gt;=2.51,"Moderately Acceptable",IF(I24&gt;=1.51,"Slightly Acceptable","Not Acceptable"))))</f>
        <v/>
      </c>
    </row>
    <row r="25" ht="22" customHeight="1">
      <c r="A25" s="22" t="inlineStr">
        <is>
          <t>OVERALL WEIGHTED MEAN (TAM)</t>
        </is>
      </c>
      <c r="B25" s="23" t="n"/>
      <c r="C25" s="23" t="n"/>
      <c r="D25" s="23" t="n"/>
      <c r="E25" s="23" t="n"/>
      <c r="F25" s="23" t="n"/>
      <c r="G25" s="23" t="n"/>
      <c r="H25" s="24" t="inlineStr"/>
      <c r="I25" s="25">
        <f>AVERAGE(I11,I18,I24)</f>
        <v/>
      </c>
      <c r="J25" s="26">
        <f>IF(I25&gt;=4.51,"Highly Acceptable",IF(I25&gt;=3.51,"Acceptable",IF(I25&gt;=2.51,"Moderately Acceptable",IF(I25&gt;=1.51,"Slightly Acceptable","Not Acceptable"))))</f>
        <v/>
      </c>
    </row>
  </sheetData>
  <mergeCells count="10">
    <mergeCell ref="A1:J1"/>
    <mergeCell ref="A5:J5"/>
    <mergeCell ref="A18:G18"/>
    <mergeCell ref="A3:J3"/>
    <mergeCell ref="A25:G25"/>
    <mergeCell ref="A12:J12"/>
    <mergeCell ref="A24:G24"/>
    <mergeCell ref="A2:J2"/>
    <mergeCell ref="A11:G11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5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1" customWidth="1" min="10" max="10"/>
    <col width="22" customWidth="1" min="11" max="11"/>
  </cols>
  <sheetData>
    <row r="1" ht="28" customHeight="1">
      <c r="A1" s="1" t="inlineStr">
        <is>
          <t>ISO/IEC 25010:2023 Software Quality Evaluation – Manual Computation  (n = 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6" customHeight="1">
      <c r="A2" s="3" t="inlineStr">
        <is>
          <t>Weighted Sum = (5×f5) + (4×f4) + (3×f3) + (2×f2) + (1×f1)     |     Weighted Mean = Weighted Sum ÷ 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6" customHeight="1">
      <c r="A3" s="4" t="inlineStr">
        <is>
          <t>Scale: 4.51–5.00 = Highly Acceptable  |  3.51–4.50 = Acceptable  |  2.51–3.50 = Moderately Acceptable  |  1.51–2.50 = Slightly Acceptable  |  1.00–1.50 = Not Acceptable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30" customHeight="1">
      <c r="A4" s="5" t="inlineStr">
        <is>
          <t>No.</t>
        </is>
      </c>
      <c r="B4" s="5" t="inlineStr">
        <is>
          <t>Sub-characteristic</t>
        </is>
      </c>
      <c r="C4" s="5" t="inlineStr">
        <is>
          <t>Indicator / Statement</t>
        </is>
      </c>
      <c r="D4" s="5" t="inlineStr">
        <is>
          <t>5</t>
        </is>
      </c>
      <c r="E4" s="5" t="inlineStr">
        <is>
          <t>4</t>
        </is>
      </c>
      <c r="F4" s="5" t="inlineStr">
        <is>
          <t>3</t>
        </is>
      </c>
      <c r="G4" s="5" t="inlineStr">
        <is>
          <t>2</t>
        </is>
      </c>
      <c r="H4" s="5" t="inlineStr">
        <is>
          <t>1</t>
        </is>
      </c>
      <c r="I4" s="5" t="inlineStr">
        <is>
          <t>Weighted
Sum</t>
        </is>
      </c>
      <c r="J4" s="5" t="inlineStr">
        <is>
          <t>Weighted
Mean</t>
        </is>
      </c>
      <c r="K4" s="5" t="inlineStr">
        <is>
          <t>Verbal
Interpretation</t>
        </is>
      </c>
    </row>
    <row r="5" ht="18" customHeight="1">
      <c r="A5" s="6" t="inlineStr">
        <is>
          <t>A. Functional Suitability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42" customHeight="1">
      <c r="A6" s="7" t="n">
        <v>1</v>
      </c>
      <c r="B6" s="27" t="inlineStr">
        <is>
          <t>Functional Completeness</t>
        </is>
      </c>
      <c r="C6" s="27" t="inlineStr">
        <is>
          <t>The system provides a complete set of functions covering the whole process: registration, company profile and vacancy posting (employer), profile encoding and job recommendations (jobseeker), referral generation, and admin moderation.</t>
        </is>
      </c>
      <c r="D6" s="9" t="n">
        <v>3</v>
      </c>
      <c r="E6" s="9" t="n">
        <v>0</v>
      </c>
      <c r="F6" s="9" t="n">
        <v>0</v>
      </c>
      <c r="G6" s="9" t="n">
        <v>0</v>
      </c>
      <c r="H6" s="9" t="n">
        <v>0</v>
      </c>
      <c r="I6" s="9">
        <f>5*D6+4*E6+3*F6+2*G6+1*H6</f>
        <v/>
      </c>
      <c r="J6" s="10">
        <f>I6/3</f>
        <v/>
      </c>
      <c r="K6" s="11">
        <f>IF(J6&gt;=4.51,"Highly Acceptable",IF(J6&gt;=3.51,"Acceptable",IF(J6&gt;=2.51,"Moderately Acceptable",IF(J6&gt;=1.51,"Slightly Acceptable","Not Acceptable"))))</f>
        <v/>
      </c>
    </row>
    <row r="7" ht="42" customHeight="1">
      <c r="A7" s="12" t="n">
        <v>2</v>
      </c>
      <c r="B7" s="28" t="inlineStr">
        <is>
          <t>Functional Correctness</t>
        </is>
      </c>
      <c r="C7" s="28" t="inlineStr">
        <is>
          <t>The system produces accurate results, such as job recommendations that fit the jobseeker profile and referral slips that show the correct jobseeker, job, and employer.</t>
        </is>
      </c>
      <c r="D7" s="14" t="n">
        <v>3</v>
      </c>
      <c r="E7" s="14" t="n">
        <v>0</v>
      </c>
      <c r="F7" s="14" t="n">
        <v>0</v>
      </c>
      <c r="G7" s="14" t="n">
        <v>0</v>
      </c>
      <c r="H7" s="14" t="n">
        <v>0</v>
      </c>
      <c r="I7" s="14">
        <f>5*D7+4*E7+3*F7+2*G7+1*H7</f>
        <v/>
      </c>
      <c r="J7" s="15">
        <f>I7/3</f>
        <v/>
      </c>
      <c r="K7" s="16">
        <f>IF(J7&gt;=4.51,"Highly Acceptable",IF(J7&gt;=3.51,"Acceptable",IF(J7&gt;=2.51,"Moderately Acceptable",IF(J7&gt;=1.51,"Slightly Acceptable","Not Acceptable"))))</f>
        <v/>
      </c>
    </row>
    <row r="8" ht="42" customHeight="1">
      <c r="A8" s="7" t="n">
        <v>3</v>
      </c>
      <c r="B8" s="27" t="inlineStr">
        <is>
          <t>Functional Appropriateness</t>
        </is>
      </c>
      <c r="C8" s="27" t="inlineStr">
        <is>
          <t>The system functions appropriately support matching a jobseeker to a suitable vacancy and generating a referral.</t>
        </is>
      </c>
      <c r="D8" s="9" t="n">
        <v>2</v>
      </c>
      <c r="E8" s="9" t="n">
        <v>1</v>
      </c>
      <c r="F8" s="9" t="n">
        <v>0</v>
      </c>
      <c r="G8" s="9" t="n">
        <v>0</v>
      </c>
      <c r="H8" s="9" t="n">
        <v>0</v>
      </c>
      <c r="I8" s="9">
        <f>5*D8+4*E8+3*F8+2*G8+1*H8</f>
        <v/>
      </c>
      <c r="J8" s="10">
        <f>I8/3</f>
        <v/>
      </c>
      <c r="K8" s="11">
        <f>IF(J8&gt;=4.51,"Highly Acceptable",IF(J8&gt;=3.51,"Acceptable",IF(J8&gt;=2.51,"Moderately Acceptable",IF(J8&gt;=1.51,"Slightly Acceptable","Not Acceptable"))))</f>
        <v/>
      </c>
    </row>
    <row r="9" ht="20" customHeight="1">
      <c r="A9" s="17" t="inlineStr">
        <is>
          <t>Overall Mean – A. Functional Suitability</t>
        </is>
      </c>
      <c r="B9" s="18" t="n"/>
      <c r="C9" s="18" t="n"/>
      <c r="D9" s="18" t="n"/>
      <c r="E9" s="18" t="n"/>
      <c r="F9" s="18" t="n"/>
      <c r="G9" s="18" t="n"/>
      <c r="H9" s="18" t="n"/>
      <c r="I9" s="19" t="inlineStr"/>
      <c r="J9" s="20">
        <f>AVERAGE(J6,J7,J8)</f>
        <v/>
      </c>
      <c r="K9" s="21">
        <f>IF(J9&gt;=4.51,"Highly Acceptable",IF(J9&gt;=3.51,"Acceptable",IF(J9&gt;=2.51,"Moderately Acceptable",IF(J9&gt;=1.51,"Slightly Acceptable","Not Acceptable"))))</f>
        <v/>
      </c>
    </row>
    <row r="10" ht="18" customHeight="1">
      <c r="A10" s="6" t="inlineStr">
        <is>
          <t>B. Performance Efficiency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42" customHeight="1">
      <c r="A11" s="7" t="n">
        <v>4</v>
      </c>
      <c r="B11" s="27" t="inlineStr">
        <is>
          <t>Time Behaviour</t>
        </is>
      </c>
      <c r="C11" s="27" t="inlineStr">
        <is>
          <t>The system responds quickly to actions such as submitting forms, generating recommendations, searching, and loading the dashboard.</t>
        </is>
      </c>
      <c r="D11" s="9" t="n">
        <v>3</v>
      </c>
      <c r="E11" s="9" t="n">
        <v>0</v>
      </c>
      <c r="F11" s="9" t="n">
        <v>0</v>
      </c>
      <c r="G11" s="9" t="n">
        <v>0</v>
      </c>
      <c r="H11" s="9" t="n">
        <v>0</v>
      </c>
      <c r="I11" s="9">
        <f>5*D11+4*E11+3*F11+2*G11+1*H11</f>
        <v/>
      </c>
      <c r="J11" s="10">
        <f>I11/3</f>
        <v/>
      </c>
      <c r="K11" s="11">
        <f>IF(J11&gt;=4.51,"Highly Acceptable",IF(J11&gt;=3.51,"Acceptable",IF(J11&gt;=2.51,"Moderately Acceptable",IF(J11&gt;=1.51,"Slightly Acceptable","Not Acceptable"))))</f>
        <v/>
      </c>
    </row>
    <row r="12" ht="42" customHeight="1">
      <c r="A12" s="12" t="n">
        <v>5</v>
      </c>
      <c r="B12" s="28" t="inlineStr">
        <is>
          <t>Resource Utilization</t>
        </is>
      </c>
      <c r="C12" s="28" t="inlineStr">
        <is>
          <t>The system uses memory, storage, and processing resources efficiently, as observed through developer tools or server monitoring during use.</t>
        </is>
      </c>
      <c r="D12" s="14" t="n">
        <v>3</v>
      </c>
      <c r="E12" s="14" t="n">
        <v>0</v>
      </c>
      <c r="F12" s="14" t="n">
        <v>0</v>
      </c>
      <c r="G12" s="14" t="n">
        <v>0</v>
      </c>
      <c r="H12" s="14" t="n">
        <v>0</v>
      </c>
      <c r="I12" s="14">
        <f>5*D12+4*E12+3*F12+2*G12+1*H12</f>
        <v/>
      </c>
      <c r="J12" s="15">
        <f>I12/3</f>
        <v/>
      </c>
      <c r="K12" s="16">
        <f>IF(J12&gt;=4.51,"Highly Acceptable",IF(J12&gt;=3.51,"Acceptable",IF(J12&gt;=2.51,"Moderately Acceptable",IF(J12&gt;=1.51,"Slightly Acceptable","Not Acceptable"))))</f>
        <v/>
      </c>
    </row>
    <row r="13" ht="42" customHeight="1">
      <c r="A13" s="7" t="n">
        <v>6</v>
      </c>
      <c r="B13" s="27" t="inlineStr">
        <is>
          <t>Capacity</t>
        </is>
      </c>
      <c r="C13" s="27" t="inlineStr">
        <is>
          <t>The system processes the available set of records (jobseekers, employers, and vacancies) without noticeable slowdown.</t>
        </is>
      </c>
      <c r="D13" s="9" t="n">
        <v>3</v>
      </c>
      <c r="E13" s="9" t="n">
        <v>0</v>
      </c>
      <c r="F13" s="9" t="n">
        <v>0</v>
      </c>
      <c r="G13" s="9" t="n">
        <v>0</v>
      </c>
      <c r="H13" s="9" t="n">
        <v>0</v>
      </c>
      <c r="I13" s="9">
        <f>5*D13+4*E13+3*F13+2*G13+1*H13</f>
        <v/>
      </c>
      <c r="J13" s="10">
        <f>I13/3</f>
        <v/>
      </c>
      <c r="K13" s="11">
        <f>IF(J13&gt;=4.51,"Highly Acceptable",IF(J13&gt;=3.51,"Acceptable",IF(J13&gt;=2.51,"Moderately Acceptable",IF(J13&gt;=1.51,"Slightly Acceptable","Not Acceptable"))))</f>
        <v/>
      </c>
    </row>
    <row r="14" ht="20" customHeight="1">
      <c r="A14" s="17" t="inlineStr">
        <is>
          <t>Overall Mean – B. Performance Efficiency</t>
        </is>
      </c>
      <c r="B14" s="18" t="n"/>
      <c r="C14" s="18" t="n"/>
      <c r="D14" s="18" t="n"/>
      <c r="E14" s="18" t="n"/>
      <c r="F14" s="18" t="n"/>
      <c r="G14" s="18" t="n"/>
      <c r="H14" s="18" t="n"/>
      <c r="I14" s="19" t="inlineStr"/>
      <c r="J14" s="20">
        <f>AVERAGE(J11,J12,J13)</f>
        <v/>
      </c>
      <c r="K14" s="21">
        <f>IF(J14&gt;=4.51,"Highly Acceptable",IF(J14&gt;=3.51,"Acceptable",IF(J14&gt;=2.51,"Moderately Acceptable",IF(J14&gt;=1.51,"Slightly Acceptable","Not Acceptable"))))</f>
        <v/>
      </c>
    </row>
    <row r="15" ht="18" customHeight="1">
      <c r="A15" s="6" t="inlineStr">
        <is>
          <t>C. Compatibility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42" customHeight="1">
      <c r="A16" s="7" t="n">
        <v>7</v>
      </c>
      <c r="B16" s="27" t="inlineStr">
        <is>
          <t>Co-existence</t>
        </is>
      </c>
      <c r="C16" s="27" t="inlineStr">
        <is>
          <t>The system runs in a web browser without negatively affecting other applications on the same device.</t>
        </is>
      </c>
      <c r="D16" s="9" t="n">
        <v>3</v>
      </c>
      <c r="E16" s="9" t="n">
        <v>0</v>
      </c>
      <c r="F16" s="9" t="n">
        <v>0</v>
      </c>
      <c r="G16" s="9" t="n">
        <v>0</v>
      </c>
      <c r="H16" s="9" t="n">
        <v>0</v>
      </c>
      <c r="I16" s="9">
        <f>5*D16+4*E16+3*F16+2*G16+1*H16</f>
        <v/>
      </c>
      <c r="J16" s="10">
        <f>I16/3</f>
        <v/>
      </c>
      <c r="K16" s="11">
        <f>IF(J16&gt;=4.51,"Highly Acceptable",IF(J16&gt;=3.51,"Acceptable",IF(J16&gt;=2.51,"Moderately Acceptable",IF(J16&gt;=1.51,"Slightly Acceptable","Not Acceptable"))))</f>
        <v/>
      </c>
    </row>
    <row r="17" ht="42" customHeight="1">
      <c r="A17" s="12" t="n">
        <v>8</v>
      </c>
      <c r="B17" s="28" t="inlineStr">
        <is>
          <t>Interoperability</t>
        </is>
      </c>
      <c r="C17" s="28" t="inlineStr">
        <is>
          <t>The system behaves consistently across common web browsers and devices (for example Chrome and Edge, desktop and mobile).</t>
        </is>
      </c>
      <c r="D17" s="14" t="n">
        <v>1</v>
      </c>
      <c r="E17" s="14" t="n">
        <v>1</v>
      </c>
      <c r="F17" s="14" t="n">
        <v>1</v>
      </c>
      <c r="G17" s="14" t="n">
        <v>0</v>
      </c>
      <c r="H17" s="14" t="n">
        <v>0</v>
      </c>
      <c r="I17" s="14">
        <f>5*D17+4*E17+3*F17+2*G17+1*H17</f>
        <v/>
      </c>
      <c r="J17" s="15">
        <f>I17/3</f>
        <v/>
      </c>
      <c r="K17" s="16">
        <f>IF(J17&gt;=4.51,"Highly Acceptable",IF(J17&gt;=3.51,"Acceptable",IF(J17&gt;=2.51,"Moderately Acceptable",IF(J17&gt;=1.51,"Slightly Acceptable","Not Acceptable"))))</f>
        <v/>
      </c>
    </row>
    <row r="18" ht="20" customHeight="1">
      <c r="A18" s="17" t="inlineStr">
        <is>
          <t>Overall Mean – C. Compatibility</t>
        </is>
      </c>
      <c r="B18" s="18" t="n"/>
      <c r="C18" s="18" t="n"/>
      <c r="D18" s="18" t="n"/>
      <c r="E18" s="18" t="n"/>
      <c r="F18" s="18" t="n"/>
      <c r="G18" s="18" t="n"/>
      <c r="H18" s="18" t="n"/>
      <c r="I18" s="19" t="inlineStr"/>
      <c r="J18" s="20">
        <f>AVERAGE(J16,J17)</f>
        <v/>
      </c>
      <c r="K18" s="21">
        <f>IF(J18&gt;=4.51,"Highly Acceptable",IF(J18&gt;=3.51,"Acceptable",IF(J18&gt;=2.51,"Moderately Acceptable",IF(J18&gt;=1.51,"Slightly Acceptable","Not Acceptable"))))</f>
        <v/>
      </c>
    </row>
    <row r="19" ht="18" customHeight="1">
      <c r="A19" s="6" t="inlineStr">
        <is>
          <t>D. Interaction Capability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42" customHeight="1">
      <c r="A20" s="7" t="n">
        <v>9</v>
      </c>
      <c r="B20" s="27" t="inlineStr">
        <is>
          <t>Appropriateness Recognizability</t>
        </is>
      </c>
      <c r="C20" s="27" t="inlineStr">
        <is>
          <t>Users can easily recognize the system purpose and capabilities on first visit, such as from the landing page.</t>
        </is>
      </c>
      <c r="D20" s="9" t="n">
        <v>1</v>
      </c>
      <c r="E20" s="9" t="n">
        <v>1</v>
      </c>
      <c r="F20" s="9" t="n">
        <v>1</v>
      </c>
      <c r="G20" s="9" t="n">
        <v>0</v>
      </c>
      <c r="H20" s="9" t="n">
        <v>0</v>
      </c>
      <c r="I20" s="9">
        <f>5*D20+4*E20+3*F20+2*G20+1*H20</f>
        <v/>
      </c>
      <c r="J20" s="10">
        <f>I20/3</f>
        <v/>
      </c>
      <c r="K20" s="11">
        <f>IF(J20&gt;=4.51,"Highly Acceptable",IF(J20&gt;=3.51,"Acceptable",IF(J20&gt;=2.51,"Moderately Acceptable",IF(J20&gt;=1.51,"Slightly Acceptable","Not Acceptable"))))</f>
        <v/>
      </c>
    </row>
    <row r="21" ht="42" customHeight="1">
      <c r="A21" s="12" t="n">
        <v>10</v>
      </c>
      <c r="B21" s="28" t="inlineStr">
        <is>
          <t>Learnability</t>
        </is>
      </c>
      <c r="C21" s="28" t="inlineStr">
        <is>
          <t>First-time users can easily learn to register, encode a profile, and generate a referral.</t>
        </is>
      </c>
      <c r="D21" s="14" t="n">
        <v>1</v>
      </c>
      <c r="E21" s="14" t="n">
        <v>0</v>
      </c>
      <c r="F21" s="14" t="n">
        <v>2</v>
      </c>
      <c r="G21" s="14" t="n">
        <v>0</v>
      </c>
      <c r="H21" s="14" t="n">
        <v>0</v>
      </c>
      <c r="I21" s="14">
        <f>5*D21+4*E21+3*F21+2*G21+1*H21</f>
        <v/>
      </c>
      <c r="J21" s="15">
        <f>I21/3</f>
        <v/>
      </c>
      <c r="K21" s="16">
        <f>IF(J21&gt;=4.51,"Highly Acceptable",IF(J21&gt;=3.51,"Acceptable",IF(J21&gt;=2.51,"Moderately Acceptable",IF(J21&gt;=1.51,"Slightly Acceptable","Not Acceptable"))))</f>
        <v/>
      </c>
    </row>
    <row r="22" ht="42" customHeight="1">
      <c r="A22" s="7" t="n">
        <v>11</v>
      </c>
      <c r="B22" s="27" t="inlineStr">
        <is>
          <t>Operability</t>
        </is>
      </c>
      <c r="C22" s="27" t="inlineStr">
        <is>
          <t>The system functions (forms, menus, buttons) are easy to operate and control.</t>
        </is>
      </c>
      <c r="D22" s="9" t="n">
        <v>1</v>
      </c>
      <c r="E22" s="9" t="n">
        <v>2</v>
      </c>
      <c r="F22" s="9" t="n">
        <v>0</v>
      </c>
      <c r="G22" s="9" t="n">
        <v>0</v>
      </c>
      <c r="H22" s="9" t="n">
        <v>0</v>
      </c>
      <c r="I22" s="9">
        <f>5*D22+4*E22+3*F22+2*G22+1*H22</f>
        <v/>
      </c>
      <c r="J22" s="10">
        <f>I22/3</f>
        <v/>
      </c>
      <c r="K22" s="11">
        <f>IF(J22&gt;=4.51,"Highly Acceptable",IF(J22&gt;=3.51,"Acceptable",IF(J22&gt;=2.51,"Moderately Acceptable",IF(J22&gt;=1.51,"Slightly Acceptable","Not Acceptable"))))</f>
        <v/>
      </c>
    </row>
    <row r="23" ht="42" customHeight="1">
      <c r="A23" s="12" t="n">
        <v>12</v>
      </c>
      <c r="B23" s="28" t="inlineStr">
        <is>
          <t>User Error Protection</t>
        </is>
      </c>
      <c r="C23" s="28" t="inlineStr">
        <is>
          <t>The system notifies users when invalid data is entered while managing applicant profiles and job vacancies.</t>
        </is>
      </c>
      <c r="D23" s="14" t="n">
        <v>2</v>
      </c>
      <c r="E23" s="14" t="n">
        <v>0</v>
      </c>
      <c r="F23" s="14" t="n">
        <v>1</v>
      </c>
      <c r="G23" s="14" t="n">
        <v>0</v>
      </c>
      <c r="H23" s="14" t="n">
        <v>0</v>
      </c>
      <c r="I23" s="14">
        <f>5*D23+4*E23+3*F23+2*G23+1*H23</f>
        <v/>
      </c>
      <c r="J23" s="15">
        <f>I23/3</f>
        <v/>
      </c>
      <c r="K23" s="16">
        <f>IF(J23&gt;=4.51,"Highly Acceptable",IF(J23&gt;=3.51,"Acceptable",IF(J23&gt;=2.51,"Moderately Acceptable",IF(J23&gt;=1.51,"Slightly Acceptable","Not Acceptable"))))</f>
        <v/>
      </c>
    </row>
    <row r="24" ht="42" customHeight="1">
      <c r="A24" s="7" t="n">
        <v>13</v>
      </c>
      <c r="B24" s="27" t="inlineStr">
        <is>
          <t>User Engagement</t>
        </is>
      </c>
      <c r="C24" s="27" t="inlineStr">
        <is>
          <t>The system interface is inviting and encourages continued use.</t>
        </is>
      </c>
      <c r="D24" s="9" t="n">
        <v>1</v>
      </c>
      <c r="E24" s="9" t="n">
        <v>2</v>
      </c>
      <c r="F24" s="9" t="n">
        <v>0</v>
      </c>
      <c r="G24" s="9" t="n">
        <v>0</v>
      </c>
      <c r="H24" s="9" t="n">
        <v>0</v>
      </c>
      <c r="I24" s="9">
        <f>5*D24+4*E24+3*F24+2*G24+1*H24</f>
        <v/>
      </c>
      <c r="J24" s="10">
        <f>I24/3</f>
        <v/>
      </c>
      <c r="K24" s="11">
        <f>IF(J24&gt;=4.51,"Highly Acceptable",IF(J24&gt;=3.51,"Acceptable",IF(J24&gt;=2.51,"Moderately Acceptable",IF(J24&gt;=1.51,"Slightly Acceptable","Not Acceptable"))))</f>
        <v/>
      </c>
    </row>
    <row r="25" ht="42" customHeight="1">
      <c r="A25" s="12" t="n">
        <v>14</v>
      </c>
      <c r="B25" s="28" t="inlineStr">
        <is>
          <t>Inclusivity</t>
        </is>
      </c>
      <c r="C25" s="28" t="inlineStr">
        <is>
          <t>The system can be used effectively by people of varied technical backgrounds and abilities.</t>
        </is>
      </c>
      <c r="D25" s="14" t="n">
        <v>0</v>
      </c>
      <c r="E25" s="14" t="n">
        <v>2</v>
      </c>
      <c r="F25" s="14" t="n">
        <v>1</v>
      </c>
      <c r="G25" s="14" t="n">
        <v>0</v>
      </c>
      <c r="H25" s="14" t="n">
        <v>0</v>
      </c>
      <c r="I25" s="14">
        <f>5*D25+4*E25+3*F25+2*G25+1*H25</f>
        <v/>
      </c>
      <c r="J25" s="15">
        <f>I25/3</f>
        <v/>
      </c>
      <c r="K25" s="16">
        <f>IF(J25&gt;=4.51,"Highly Acceptable",IF(J25&gt;=3.51,"Acceptable",IF(J25&gt;=2.51,"Moderately Acceptable",IF(J25&gt;=1.51,"Slightly Acceptable","Not Acceptable"))))</f>
        <v/>
      </c>
    </row>
    <row r="26" ht="42" customHeight="1">
      <c r="A26" s="7" t="n">
        <v>15</v>
      </c>
      <c r="B26" s="27" t="inlineStr">
        <is>
          <t>User Assistance</t>
        </is>
      </c>
      <c r="C26" s="27" t="inlineStr">
        <is>
          <t>The system guides users through tasks with on-screen help such as field hints, placeholders, and instructional messages.</t>
        </is>
      </c>
      <c r="D26" s="9" t="n">
        <v>1</v>
      </c>
      <c r="E26" s="9" t="n">
        <v>2</v>
      </c>
      <c r="F26" s="9" t="n">
        <v>0</v>
      </c>
      <c r="G26" s="9" t="n">
        <v>0</v>
      </c>
      <c r="H26" s="9" t="n">
        <v>0</v>
      </c>
      <c r="I26" s="9">
        <f>5*D26+4*E26+3*F26+2*G26+1*H26</f>
        <v/>
      </c>
      <c r="J26" s="10">
        <f>I26/3</f>
        <v/>
      </c>
      <c r="K26" s="11">
        <f>IF(J26&gt;=4.51,"Highly Acceptable",IF(J26&gt;=3.51,"Acceptable",IF(J26&gt;=2.51,"Moderately Acceptable",IF(J26&gt;=1.51,"Slightly Acceptable","Not Acceptable"))))</f>
        <v/>
      </c>
    </row>
    <row r="27" ht="42" customHeight="1">
      <c r="A27" s="12" t="n">
        <v>16</v>
      </c>
      <c r="B27" s="28" t="inlineStr">
        <is>
          <t>Self-descriptiveness</t>
        </is>
      </c>
      <c r="C27" s="28" t="inlineStr">
        <is>
          <t>The system presents information clearly through labels and icons, so its use is obvious without excessive help.</t>
        </is>
      </c>
      <c r="D27" s="14" t="n">
        <v>1</v>
      </c>
      <c r="E27" s="14" t="n">
        <v>2</v>
      </c>
      <c r="F27" s="14" t="n">
        <v>0</v>
      </c>
      <c r="G27" s="14" t="n">
        <v>0</v>
      </c>
      <c r="H27" s="14" t="n">
        <v>0</v>
      </c>
      <c r="I27" s="14">
        <f>5*D27+4*E27+3*F27+2*G27+1*H27</f>
        <v/>
      </c>
      <c r="J27" s="15">
        <f>I27/3</f>
        <v/>
      </c>
      <c r="K27" s="16">
        <f>IF(J27&gt;=4.51,"Highly Acceptable",IF(J27&gt;=3.51,"Acceptable",IF(J27&gt;=2.51,"Moderately Acceptable",IF(J27&gt;=1.51,"Slightly Acceptable","Not Acceptable"))))</f>
        <v/>
      </c>
    </row>
    <row r="28" ht="20" customHeight="1">
      <c r="A28" s="17" t="inlineStr">
        <is>
          <t>Overall Mean – D. Interaction Capability</t>
        </is>
      </c>
      <c r="B28" s="18" t="n"/>
      <c r="C28" s="18" t="n"/>
      <c r="D28" s="18" t="n"/>
      <c r="E28" s="18" t="n"/>
      <c r="F28" s="18" t="n"/>
      <c r="G28" s="18" t="n"/>
      <c r="H28" s="18" t="n"/>
      <c r="I28" s="19" t="inlineStr"/>
      <c r="J28" s="20">
        <f>AVERAGE(J20,J21,J22,J23,J24,J25,J26,J27)</f>
        <v/>
      </c>
      <c r="K28" s="21">
        <f>IF(J28&gt;=4.51,"Highly Acceptable",IF(J28&gt;=3.51,"Acceptable",IF(J28&gt;=2.51,"Moderately Acceptable",IF(J28&gt;=1.51,"Slightly Acceptable","Not Acceptable"))))</f>
        <v/>
      </c>
    </row>
    <row r="29" ht="18" customHeight="1">
      <c r="A29" s="6" t="inlineStr">
        <is>
          <t>E. Reliability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42" customHeight="1">
      <c r="A30" s="7" t="n">
        <v>17</v>
      </c>
      <c r="B30" s="27" t="inlineStr">
        <is>
          <t>Faultlessness</t>
        </is>
      </c>
      <c r="C30" s="27" t="inlineStr">
        <is>
          <t>The system consistently generates accurate job recommendations and manages records without errors under expected operating conditions.</t>
        </is>
      </c>
      <c r="D30" s="9" t="n">
        <v>2</v>
      </c>
      <c r="E30" s="9" t="n">
        <v>1</v>
      </c>
      <c r="F30" s="9" t="n">
        <v>0</v>
      </c>
      <c r="G30" s="9" t="n">
        <v>0</v>
      </c>
      <c r="H30" s="9" t="n">
        <v>0</v>
      </c>
      <c r="I30" s="9">
        <f>5*D30+4*E30+3*F30+2*G30+1*H30</f>
        <v/>
      </c>
      <c r="J30" s="10">
        <f>I30/3</f>
        <v/>
      </c>
      <c r="K30" s="11">
        <f>IF(J30&gt;=4.51,"Highly Acceptable",IF(J30&gt;=3.51,"Acceptable",IF(J30&gt;=2.51,"Moderately Acceptable",IF(J30&gt;=1.51,"Slightly Acceptable","Not Acceptable"))))</f>
        <v/>
      </c>
    </row>
    <row r="31" ht="42" customHeight="1">
      <c r="A31" s="12" t="n">
        <v>18</v>
      </c>
      <c r="B31" s="28" t="inlineStr">
        <is>
          <t>Availability</t>
        </is>
      </c>
      <c r="C31" s="28" t="inlineStr">
        <is>
          <t>The system is available and accessible whenever needed through its URL.</t>
        </is>
      </c>
      <c r="D31" s="14" t="n">
        <v>3</v>
      </c>
      <c r="E31" s="14" t="n">
        <v>0</v>
      </c>
      <c r="F31" s="14" t="n">
        <v>0</v>
      </c>
      <c r="G31" s="14" t="n">
        <v>0</v>
      </c>
      <c r="H31" s="14" t="n">
        <v>0</v>
      </c>
      <c r="I31" s="14">
        <f>5*D31+4*E31+3*F31+2*G31+1*H31</f>
        <v/>
      </c>
      <c r="J31" s="15">
        <f>I31/3</f>
        <v/>
      </c>
      <c r="K31" s="16">
        <f>IF(J31&gt;=4.51,"Highly Acceptable",IF(J31&gt;=3.51,"Acceptable",IF(J31&gt;=2.51,"Moderately Acceptable",IF(J31&gt;=1.51,"Slightly Acceptable","Not Acceptable"))))</f>
        <v/>
      </c>
    </row>
    <row r="32" ht="42" customHeight="1">
      <c r="A32" s="7" t="n">
        <v>19</v>
      </c>
      <c r="B32" s="27" t="inlineStr">
        <is>
          <t>Fault Tolerance</t>
        </is>
      </c>
      <c r="C32" s="27" t="inlineStr">
        <is>
          <t>The system continues to function properly even when it encounters invalid data entries or minor technical errors.</t>
        </is>
      </c>
      <c r="D32" s="9" t="n">
        <v>2</v>
      </c>
      <c r="E32" s="9" t="n">
        <v>1</v>
      </c>
      <c r="F32" s="9" t="n">
        <v>0</v>
      </c>
      <c r="G32" s="9" t="n">
        <v>0</v>
      </c>
      <c r="H32" s="9" t="n">
        <v>0</v>
      </c>
      <c r="I32" s="9">
        <f>5*D32+4*E32+3*F32+2*G32+1*H32</f>
        <v/>
      </c>
      <c r="J32" s="10">
        <f>I32/3</f>
        <v/>
      </c>
      <c r="K32" s="11">
        <f>IF(J32&gt;=4.51,"Highly Acceptable",IF(J32&gt;=3.51,"Acceptable",IF(J32&gt;=2.51,"Moderately Acceptable",IF(J32&gt;=1.51,"Slightly Acceptable","Not Acceptable"))))</f>
        <v/>
      </c>
    </row>
    <row r="33" ht="42" customHeight="1">
      <c r="A33" s="12" t="n">
        <v>20</v>
      </c>
      <c r="B33" s="28" t="inlineStr">
        <is>
          <t>Recoverability</t>
        </is>
      </c>
      <c r="C33" s="28" t="inlineStr">
        <is>
          <t>After an interruption or restart, the system recovers and previously saved data (profiles, vacancies, referrals) remains intact.</t>
        </is>
      </c>
      <c r="D33" s="14" t="n">
        <v>2</v>
      </c>
      <c r="E33" s="14" t="n">
        <v>1</v>
      </c>
      <c r="F33" s="14" t="n">
        <v>0</v>
      </c>
      <c r="G33" s="14" t="n">
        <v>0</v>
      </c>
      <c r="H33" s="14" t="n">
        <v>0</v>
      </c>
      <c r="I33" s="14">
        <f>5*D33+4*E33+3*F33+2*G33+1*H33</f>
        <v/>
      </c>
      <c r="J33" s="15">
        <f>I33/3</f>
        <v/>
      </c>
      <c r="K33" s="16">
        <f>IF(J33&gt;=4.51,"Highly Acceptable",IF(J33&gt;=3.51,"Acceptable",IF(J33&gt;=2.51,"Moderately Acceptable",IF(J33&gt;=1.51,"Slightly Acceptable","Not Acceptable"))))</f>
        <v/>
      </c>
    </row>
    <row r="34" ht="20" customHeight="1">
      <c r="A34" s="17" t="inlineStr">
        <is>
          <t>Overall Mean – E. Reliability</t>
        </is>
      </c>
      <c r="B34" s="18" t="n"/>
      <c r="C34" s="18" t="n"/>
      <c r="D34" s="18" t="n"/>
      <c r="E34" s="18" t="n"/>
      <c r="F34" s="18" t="n"/>
      <c r="G34" s="18" t="n"/>
      <c r="H34" s="18" t="n"/>
      <c r="I34" s="19" t="inlineStr"/>
      <c r="J34" s="20">
        <f>AVERAGE(J30,J31,J32,J33)</f>
        <v/>
      </c>
      <c r="K34" s="21">
        <f>IF(J34&gt;=4.51,"Highly Acceptable",IF(J34&gt;=3.51,"Acceptable",IF(J34&gt;=2.51,"Moderately Acceptable",IF(J34&gt;=1.51,"Slightly Acceptable","Not Acceptable"))))</f>
        <v/>
      </c>
    </row>
    <row r="35" ht="18" customHeight="1">
      <c r="A35" s="6" t="inlineStr">
        <is>
          <t>F. Security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42" customHeight="1">
      <c r="A36" s="7" t="n">
        <v>21</v>
      </c>
      <c r="B36" s="27" t="inlineStr">
        <is>
          <t>Confidentiality</t>
        </is>
      </c>
      <c r="C36" s="27" t="inlineStr">
        <is>
          <t>Data is accessible only to authorized users (a jobseeker cannot view another user's referral or records).</t>
        </is>
      </c>
      <c r="D36" s="9" t="n">
        <v>3</v>
      </c>
      <c r="E36" s="9" t="n">
        <v>0</v>
      </c>
      <c r="F36" s="9" t="n">
        <v>0</v>
      </c>
      <c r="G36" s="9" t="n">
        <v>0</v>
      </c>
      <c r="H36" s="9" t="n">
        <v>0</v>
      </c>
      <c r="I36" s="9">
        <f>5*D36+4*E36+3*F36+2*G36+1*H36</f>
        <v/>
      </c>
      <c r="J36" s="10">
        <f>I36/3</f>
        <v/>
      </c>
      <c r="K36" s="11">
        <f>IF(J36&gt;=4.51,"Highly Acceptable",IF(J36&gt;=3.51,"Acceptable",IF(J36&gt;=2.51,"Moderately Acceptable",IF(J36&gt;=1.51,"Slightly Acceptable","Not Acceptable"))))</f>
        <v/>
      </c>
    </row>
    <row r="37" ht="42" customHeight="1">
      <c r="A37" s="12" t="n">
        <v>22</v>
      </c>
      <c r="B37" s="28" t="inlineStr">
        <is>
          <t>Integrity</t>
        </is>
      </c>
      <c r="C37" s="28" t="inlineStr">
        <is>
          <t>The system protects records from unauthorized modification or deletion (only the owning employer can edit their vacancy, only admin can approve employers).</t>
        </is>
      </c>
      <c r="D37" s="14" t="n">
        <v>3</v>
      </c>
      <c r="E37" s="14" t="n">
        <v>0</v>
      </c>
      <c r="F37" s="14" t="n">
        <v>0</v>
      </c>
      <c r="G37" s="14" t="n">
        <v>0</v>
      </c>
      <c r="H37" s="14" t="n">
        <v>0</v>
      </c>
      <c r="I37" s="14">
        <f>5*D37+4*E37+3*F37+2*G37+1*H37</f>
        <v/>
      </c>
      <c r="J37" s="15">
        <f>I37/3</f>
        <v/>
      </c>
      <c r="K37" s="16">
        <f>IF(J37&gt;=4.51,"Highly Acceptable",IF(J37&gt;=3.51,"Acceptable",IF(J37&gt;=2.51,"Moderately Acceptable",IF(J37&gt;=1.51,"Slightly Acceptable","Not Acceptable"))))</f>
        <v/>
      </c>
    </row>
    <row r="38" ht="42" customHeight="1">
      <c r="A38" s="7" t="n">
        <v>23</v>
      </c>
      <c r="B38" s="27" t="inlineStr">
        <is>
          <t>Non-repudiation</t>
        </is>
      </c>
      <c r="C38" s="27" t="inlineStr">
        <is>
          <t>The system records that key actions occurred (referral timestamps and login records), so they cannot be denied later.</t>
        </is>
      </c>
      <c r="D38" s="9" t="n">
        <v>3</v>
      </c>
      <c r="E38" s="9" t="n">
        <v>0</v>
      </c>
      <c r="F38" s="9" t="n">
        <v>0</v>
      </c>
      <c r="G38" s="9" t="n">
        <v>0</v>
      </c>
      <c r="H38" s="9" t="n">
        <v>0</v>
      </c>
      <c r="I38" s="9">
        <f>5*D38+4*E38+3*F38+2*G38+1*H38</f>
        <v/>
      </c>
      <c r="J38" s="10">
        <f>I38/3</f>
        <v/>
      </c>
      <c r="K38" s="11">
        <f>IF(J38&gt;=4.51,"Highly Acceptable",IF(J38&gt;=3.51,"Acceptable",IF(J38&gt;=2.51,"Moderately Acceptable",IF(J38&gt;=1.51,"Slightly Acceptable","Not Acceptable"))))</f>
        <v/>
      </c>
    </row>
    <row r="39" ht="42" customHeight="1">
      <c r="A39" s="12" t="n">
        <v>24</v>
      </c>
      <c r="B39" s="28" t="inlineStr">
        <is>
          <t>Accountability</t>
        </is>
      </c>
      <c r="C39" s="28" t="inlineStr">
        <is>
          <t>The system traces actions to the responsible account, for example through the admin login history.</t>
        </is>
      </c>
      <c r="D39" s="14" t="n">
        <v>3</v>
      </c>
      <c r="E39" s="14" t="n">
        <v>0</v>
      </c>
      <c r="F39" s="14" t="n">
        <v>0</v>
      </c>
      <c r="G39" s="14" t="n">
        <v>0</v>
      </c>
      <c r="H39" s="14" t="n">
        <v>0</v>
      </c>
      <c r="I39" s="14">
        <f>5*D39+4*E39+3*F39+2*G39+1*H39</f>
        <v/>
      </c>
      <c r="J39" s="15">
        <f>I39/3</f>
        <v/>
      </c>
      <c r="K39" s="16">
        <f>IF(J39&gt;=4.51,"Highly Acceptable",IF(J39&gt;=3.51,"Acceptable",IF(J39&gt;=2.51,"Moderately Acceptable",IF(J39&gt;=1.51,"Slightly Acceptable","Not Acceptable"))))</f>
        <v/>
      </c>
    </row>
    <row r="40" ht="42" customHeight="1">
      <c r="A40" s="7" t="n">
        <v>25</v>
      </c>
      <c r="B40" s="27" t="inlineStr">
        <is>
          <t>Authenticity</t>
        </is>
      </c>
      <c r="C40" s="27" t="inlineStr">
        <is>
          <t>The system verifies identity through login before granting access (a wrong password or a deactivated account is denied).</t>
        </is>
      </c>
      <c r="D40" s="9" t="n">
        <v>3</v>
      </c>
      <c r="E40" s="9" t="n">
        <v>0</v>
      </c>
      <c r="F40" s="9" t="n">
        <v>0</v>
      </c>
      <c r="G40" s="9" t="n">
        <v>0</v>
      </c>
      <c r="H40" s="9" t="n">
        <v>0</v>
      </c>
      <c r="I40" s="9">
        <f>5*D40+4*E40+3*F40+2*G40+1*H40</f>
        <v/>
      </c>
      <c r="J40" s="10">
        <f>I40/3</f>
        <v/>
      </c>
      <c r="K40" s="11">
        <f>IF(J40&gt;=4.51,"Highly Acceptable",IF(J40&gt;=3.51,"Acceptable",IF(J40&gt;=2.51,"Moderately Acceptable",IF(J40&gt;=1.51,"Slightly Acceptable","Not Acceptable"))))</f>
        <v/>
      </c>
    </row>
    <row r="41" ht="42" customHeight="1">
      <c r="A41" s="12" t="n">
        <v>26</v>
      </c>
      <c r="B41" s="28" t="inlineStr">
        <is>
          <t>Resistance</t>
        </is>
      </c>
      <c r="C41" s="28" t="inlineStr">
        <is>
          <t>The system stays secure under unauthorized access attempts (protected pages redirect to login, approval cannot be bypassed by URL).</t>
        </is>
      </c>
      <c r="D41" s="14" t="n">
        <v>3</v>
      </c>
      <c r="E41" s="14" t="n">
        <v>0</v>
      </c>
      <c r="F41" s="14" t="n">
        <v>0</v>
      </c>
      <c r="G41" s="14" t="n">
        <v>0</v>
      </c>
      <c r="H41" s="14" t="n">
        <v>0</v>
      </c>
      <c r="I41" s="14">
        <f>5*D41+4*E41+3*F41+2*G41+1*H41</f>
        <v/>
      </c>
      <c r="J41" s="15">
        <f>I41/3</f>
        <v/>
      </c>
      <c r="K41" s="16">
        <f>IF(J41&gt;=4.51,"Highly Acceptable",IF(J41&gt;=3.51,"Acceptable",IF(J41&gt;=2.51,"Moderately Acceptable",IF(J41&gt;=1.51,"Slightly Acceptable","Not Acceptable"))))</f>
        <v/>
      </c>
    </row>
    <row r="42" ht="20" customHeight="1">
      <c r="A42" s="17" t="inlineStr">
        <is>
          <t>Overall Mean – F. Security</t>
        </is>
      </c>
      <c r="B42" s="18" t="n"/>
      <c r="C42" s="18" t="n"/>
      <c r="D42" s="18" t="n"/>
      <c r="E42" s="18" t="n"/>
      <c r="F42" s="18" t="n"/>
      <c r="G42" s="18" t="n"/>
      <c r="H42" s="18" t="n"/>
      <c r="I42" s="19" t="inlineStr"/>
      <c r="J42" s="20">
        <f>AVERAGE(J36,J37,J38,J39,J40,J41)</f>
        <v/>
      </c>
      <c r="K42" s="21">
        <f>IF(J42&gt;=4.51,"Highly Acceptable",IF(J42&gt;=3.51,"Acceptable",IF(J42&gt;=2.51,"Moderately Acceptable",IF(J42&gt;=1.51,"Slightly Acceptable","Not Acceptable"))))</f>
        <v/>
      </c>
    </row>
    <row r="43" ht="18" customHeight="1">
      <c r="A43" s="6" t="inlineStr">
        <is>
          <t>G. Maintainability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42" customHeight="1">
      <c r="A44" s="7" t="n">
        <v>27</v>
      </c>
      <c r="B44" s="27" t="inlineStr">
        <is>
          <t>Modularity</t>
        </is>
      </c>
      <c r="C44" s="27" t="inlineStr">
        <is>
          <t>The system is organized into independent modules (routes, templates, ML pipeline, database layer) so a change in one does not break others.</t>
        </is>
      </c>
      <c r="D44" s="9" t="n">
        <v>1</v>
      </c>
      <c r="E44" s="9" t="n">
        <v>2</v>
      </c>
      <c r="F44" s="9" t="n">
        <v>0</v>
      </c>
      <c r="G44" s="9" t="n">
        <v>0</v>
      </c>
      <c r="H44" s="9" t="n">
        <v>0</v>
      </c>
      <c r="I44" s="9">
        <f>5*D44+4*E44+3*F44+2*G44+1*H44</f>
        <v/>
      </c>
      <c r="J44" s="10">
        <f>I44/3</f>
        <v/>
      </c>
      <c r="K44" s="11">
        <f>IF(J44&gt;=4.51,"Highly Acceptable",IF(J44&gt;=3.51,"Acceptable",IF(J44&gt;=2.51,"Moderately Acceptable",IF(J44&gt;=1.51,"Slightly Acceptable","Not Acceptable"))))</f>
        <v/>
      </c>
    </row>
    <row r="45" ht="42" customHeight="1">
      <c r="A45" s="12" t="n">
        <v>28</v>
      </c>
      <c r="B45" s="28" t="inlineStr">
        <is>
          <t>Reusability</t>
        </is>
      </c>
      <c r="C45" s="28" t="inlineStr">
        <is>
          <t>The system reuses shared components such as base templates and helper functions across features.</t>
        </is>
      </c>
      <c r="D45" s="14" t="n">
        <v>3</v>
      </c>
      <c r="E45" s="14" t="n">
        <v>0</v>
      </c>
      <c r="F45" s="14" t="n">
        <v>0</v>
      </c>
      <c r="G45" s="14" t="n">
        <v>0</v>
      </c>
      <c r="H45" s="14" t="n">
        <v>0</v>
      </c>
      <c r="I45" s="14">
        <f>5*D45+4*E45+3*F45+2*G45+1*H45</f>
        <v/>
      </c>
      <c r="J45" s="15">
        <f>I45/3</f>
        <v/>
      </c>
      <c r="K45" s="16">
        <f>IF(J45&gt;=4.51,"Highly Acceptable",IF(J45&gt;=3.51,"Acceptable",IF(J45&gt;=2.51,"Moderately Acceptable",IF(J45&gt;=1.51,"Slightly Acceptable","Not Acceptable"))))</f>
        <v/>
      </c>
    </row>
    <row r="46" ht="42" customHeight="1">
      <c r="A46" s="7" t="n">
        <v>29</v>
      </c>
      <c r="B46" s="27" t="inlineStr">
        <is>
          <t>Analysability</t>
        </is>
      </c>
      <c r="C46" s="27" t="inlineStr">
        <is>
          <t>The system code and structure make it easy to locate the cause of a defect or the impact of a change.</t>
        </is>
      </c>
      <c r="D46" s="9" t="n">
        <v>2</v>
      </c>
      <c r="E46" s="9" t="n">
        <v>1</v>
      </c>
      <c r="F46" s="9" t="n">
        <v>0</v>
      </c>
      <c r="G46" s="9" t="n">
        <v>0</v>
      </c>
      <c r="H46" s="9" t="n">
        <v>0</v>
      </c>
      <c r="I46" s="9">
        <f>5*D46+4*E46+3*F46+2*G46+1*H46</f>
        <v/>
      </c>
      <c r="J46" s="10">
        <f>I46/3</f>
        <v/>
      </c>
      <c r="K46" s="11">
        <f>IF(J46&gt;=4.51,"Highly Acceptable",IF(J46&gt;=3.51,"Acceptable",IF(J46&gt;=2.51,"Moderately Acceptable",IF(J46&gt;=1.51,"Slightly Acceptable","Not Acceptable"))))</f>
        <v/>
      </c>
    </row>
    <row r="47" ht="42" customHeight="1">
      <c r="A47" s="12" t="n">
        <v>30</v>
      </c>
      <c r="B47" s="28" t="inlineStr">
        <is>
          <t>Modifiability</t>
        </is>
      </c>
      <c r="C47" s="28" t="inlineStr">
        <is>
          <t>The system can be updated or enhanced to accommodate changes in PESO operational requirements without errors.</t>
        </is>
      </c>
      <c r="D47" s="14" t="n">
        <v>3</v>
      </c>
      <c r="E47" s="14" t="n">
        <v>0</v>
      </c>
      <c r="F47" s="14" t="n">
        <v>0</v>
      </c>
      <c r="G47" s="14" t="n">
        <v>0</v>
      </c>
      <c r="H47" s="14" t="n">
        <v>0</v>
      </c>
      <c r="I47" s="14">
        <f>5*D47+4*E47+3*F47+2*G47+1*H47</f>
        <v/>
      </c>
      <c r="J47" s="15">
        <f>I47/3</f>
        <v/>
      </c>
      <c r="K47" s="16">
        <f>IF(J47&gt;=4.51,"Highly Acceptable",IF(J47&gt;=3.51,"Acceptable",IF(J47&gt;=2.51,"Moderately Acceptable",IF(J47&gt;=1.51,"Slightly Acceptable","Not Acceptable"))))</f>
        <v/>
      </c>
    </row>
    <row r="48" ht="42" customHeight="1">
      <c r="A48" s="7" t="n">
        <v>31</v>
      </c>
      <c r="B48" s="27" t="inlineStr">
        <is>
          <t>Testability</t>
        </is>
      </c>
      <c r="C48" s="27" t="inlineStr">
        <is>
          <t>The system functions are structured so they can be tested to verify requirements.</t>
        </is>
      </c>
      <c r="D48" s="9" t="n">
        <v>3</v>
      </c>
      <c r="E48" s="9" t="n">
        <v>0</v>
      </c>
      <c r="F48" s="9" t="n">
        <v>0</v>
      </c>
      <c r="G48" s="9" t="n">
        <v>0</v>
      </c>
      <c r="H48" s="9" t="n">
        <v>0</v>
      </c>
      <c r="I48" s="9">
        <f>5*D48+4*E48+3*F48+2*G48+1*H48</f>
        <v/>
      </c>
      <c r="J48" s="10">
        <f>I48/3</f>
        <v/>
      </c>
      <c r="K48" s="11">
        <f>IF(J48&gt;=4.51,"Highly Acceptable",IF(J48&gt;=3.51,"Acceptable",IF(J48&gt;=2.51,"Moderately Acceptable",IF(J48&gt;=1.51,"Slightly Acceptable","Not Acceptable"))))</f>
        <v/>
      </c>
    </row>
    <row r="49" ht="20" customHeight="1">
      <c r="A49" s="17" t="inlineStr">
        <is>
          <t>Overall Mean – G. Maintainability</t>
        </is>
      </c>
      <c r="B49" s="18" t="n"/>
      <c r="C49" s="18" t="n"/>
      <c r="D49" s="18" t="n"/>
      <c r="E49" s="18" t="n"/>
      <c r="F49" s="18" t="n"/>
      <c r="G49" s="18" t="n"/>
      <c r="H49" s="18" t="n"/>
      <c r="I49" s="19" t="inlineStr"/>
      <c r="J49" s="20">
        <f>AVERAGE(J44,J45,J46,J47,J48)</f>
        <v/>
      </c>
      <c r="K49" s="21">
        <f>IF(J49&gt;=4.51,"Highly Acceptable",IF(J49&gt;=3.51,"Acceptable",IF(J49&gt;=2.51,"Moderately Acceptable",IF(J49&gt;=1.51,"Slightly Acceptable","Not Acceptable"))))</f>
        <v/>
      </c>
    </row>
    <row r="50" ht="18" customHeight="1">
      <c r="A50" s="6" t="inlineStr">
        <is>
          <t>H. Flexibility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42" customHeight="1">
      <c r="A51" s="7" t="n">
        <v>32</v>
      </c>
      <c r="B51" s="27" t="inlineStr">
        <is>
          <t>Adaptability</t>
        </is>
      </c>
      <c r="C51" s="27" t="inlineStr">
        <is>
          <t>The system runs across different environments and devices (local and hosted, desktop and responsive mobile).</t>
        </is>
      </c>
      <c r="D51" s="9" t="n">
        <v>2</v>
      </c>
      <c r="E51" s="9" t="n">
        <v>0</v>
      </c>
      <c r="F51" s="9" t="n">
        <v>0</v>
      </c>
      <c r="G51" s="9" t="n">
        <v>1</v>
      </c>
      <c r="H51" s="9" t="n">
        <v>0</v>
      </c>
      <c r="I51" s="9">
        <f>5*D51+4*E51+3*F51+2*G51+1*H51</f>
        <v/>
      </c>
      <c r="J51" s="10">
        <f>I51/3</f>
        <v/>
      </c>
      <c r="K51" s="11">
        <f>IF(J51&gt;=4.51,"Highly Acceptable",IF(J51&gt;=3.51,"Acceptable",IF(J51&gt;=2.51,"Moderately Acceptable",IF(J51&gt;=1.51,"Slightly Acceptable","Not Acceptable"))))</f>
        <v/>
      </c>
    </row>
    <row r="52" ht="42" customHeight="1">
      <c r="A52" s="12" t="n">
        <v>33</v>
      </c>
      <c r="B52" s="28" t="inlineStr">
        <is>
          <t>Scalability</t>
        </is>
      </c>
      <c r="C52" s="28" t="inlineStr">
        <is>
          <t>The system design (database and architecture) can accommodate a growing number of users and records without significant performance loss.</t>
        </is>
      </c>
      <c r="D52" s="14" t="n">
        <v>2</v>
      </c>
      <c r="E52" s="14" t="n">
        <v>1</v>
      </c>
      <c r="F52" s="14" t="n">
        <v>0</v>
      </c>
      <c r="G52" s="14" t="n">
        <v>0</v>
      </c>
      <c r="H52" s="14" t="n">
        <v>0</v>
      </c>
      <c r="I52" s="14">
        <f>5*D52+4*E52+3*F52+2*G52+1*H52</f>
        <v/>
      </c>
      <c r="J52" s="15">
        <f>I52/3</f>
        <v/>
      </c>
      <c r="K52" s="16">
        <f>IF(J52&gt;=4.51,"Highly Acceptable",IF(J52&gt;=3.51,"Acceptable",IF(J52&gt;=2.51,"Moderately Acceptable",IF(J52&gt;=1.51,"Slightly Acceptable","Not Acceptable"))))</f>
        <v/>
      </c>
    </row>
    <row r="53" ht="42" customHeight="1">
      <c r="A53" s="7" t="n">
        <v>34</v>
      </c>
      <c r="B53" s="27" t="inlineStr">
        <is>
          <t>Installability</t>
        </is>
      </c>
      <c r="C53" s="27" t="inlineStr">
        <is>
          <t>The system can be deployed and accessed successfully, as shown by its running hosted instance.</t>
        </is>
      </c>
      <c r="D53" s="9" t="n">
        <v>3</v>
      </c>
      <c r="E53" s="9" t="n">
        <v>0</v>
      </c>
      <c r="F53" s="9" t="n">
        <v>0</v>
      </c>
      <c r="G53" s="9" t="n">
        <v>0</v>
      </c>
      <c r="H53" s="9" t="n">
        <v>0</v>
      </c>
      <c r="I53" s="9">
        <f>5*D53+4*E53+3*F53+2*G53+1*H53</f>
        <v/>
      </c>
      <c r="J53" s="10">
        <f>I53/3</f>
        <v/>
      </c>
      <c r="K53" s="11">
        <f>IF(J53&gt;=4.51,"Highly Acceptable",IF(J53&gt;=3.51,"Acceptable",IF(J53&gt;=2.51,"Moderately Acceptable",IF(J53&gt;=1.51,"Slightly Acceptable","Not Acceptable"))))</f>
        <v/>
      </c>
    </row>
    <row r="54" ht="42" customHeight="1">
      <c r="A54" s="12" t="n">
        <v>35</v>
      </c>
      <c r="B54" s="28" t="inlineStr">
        <is>
          <t>Replaceability</t>
        </is>
      </c>
      <c r="C54" s="28" t="inlineStr">
        <is>
          <t>Records or components can be updated or replaced with minimal disruption (for example editing a vacancy or updating a profile).</t>
        </is>
      </c>
      <c r="D54" s="14" t="n">
        <v>3</v>
      </c>
      <c r="E54" s="14" t="n">
        <v>0</v>
      </c>
      <c r="F54" s="14" t="n">
        <v>0</v>
      </c>
      <c r="G54" s="14" t="n">
        <v>0</v>
      </c>
      <c r="H54" s="14" t="n">
        <v>0</v>
      </c>
      <c r="I54" s="14">
        <f>5*D54+4*E54+3*F54+2*G54+1*H54</f>
        <v/>
      </c>
      <c r="J54" s="15">
        <f>I54/3</f>
        <v/>
      </c>
      <c r="K54" s="16">
        <f>IF(J54&gt;=4.51,"Highly Acceptable",IF(J54&gt;=3.51,"Acceptable",IF(J54&gt;=2.51,"Moderately Acceptable",IF(J54&gt;=1.51,"Slightly Acceptable","Not Acceptable"))))</f>
        <v/>
      </c>
    </row>
    <row r="55" ht="20" customHeight="1">
      <c r="A55" s="17" t="inlineStr">
        <is>
          <t>Overall Mean – H. Flexibility</t>
        </is>
      </c>
      <c r="B55" s="18" t="n"/>
      <c r="C55" s="18" t="n"/>
      <c r="D55" s="18" t="n"/>
      <c r="E55" s="18" t="n"/>
      <c r="F55" s="18" t="n"/>
      <c r="G55" s="18" t="n"/>
      <c r="H55" s="18" t="n"/>
      <c r="I55" s="19" t="inlineStr"/>
      <c r="J55" s="20">
        <f>AVERAGE(J51,J52,J53,J54)</f>
        <v/>
      </c>
      <c r="K55" s="21">
        <f>IF(J55&gt;=4.51,"Highly Acceptable",IF(J55&gt;=3.51,"Acceptable",IF(J55&gt;=2.51,"Moderately Acceptable",IF(J55&gt;=1.51,"Slightly Acceptable","Not Acceptable"))))</f>
        <v/>
      </c>
    </row>
    <row r="56" ht="18" customHeight="1">
      <c r="A56" s="6" t="inlineStr">
        <is>
          <t>I. Safety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42" customHeight="1">
      <c r="A57" s="7" t="n">
        <v>36</v>
      </c>
      <c r="B57" s="27" t="inlineStr">
        <is>
          <t>Operational Constraint</t>
        </is>
      </c>
      <c r="C57" s="27" t="inlineStr">
        <is>
          <t>The system constrains operations within safe rules (it cannot approve an employer with an incomplete profile, and a jobseeker cannot hold two active referrals).</t>
        </is>
      </c>
      <c r="D57" s="9" t="n">
        <v>3</v>
      </c>
      <c r="E57" s="9" t="n">
        <v>0</v>
      </c>
      <c r="F57" s="9" t="n">
        <v>0</v>
      </c>
      <c r="G57" s="9" t="n">
        <v>0</v>
      </c>
      <c r="H57" s="9" t="n">
        <v>0</v>
      </c>
      <c r="I57" s="9">
        <f>5*D57+4*E57+3*F57+2*G57+1*H57</f>
        <v/>
      </c>
      <c r="J57" s="10">
        <f>I57/3</f>
        <v/>
      </c>
      <c r="K57" s="11">
        <f>IF(J57&gt;=4.51,"Highly Acceptable",IF(J57&gt;=3.51,"Acceptable",IF(J57&gt;=2.51,"Moderately Acceptable",IF(J57&gt;=1.51,"Slightly Acceptable","Not Acceptable"))))</f>
        <v/>
      </c>
    </row>
    <row r="58" ht="42" customHeight="1">
      <c r="A58" s="12" t="n">
        <v>37</v>
      </c>
      <c r="B58" s="28" t="inlineStr">
        <is>
          <t>Risk Identification</t>
        </is>
      </c>
      <c r="C58" s="28" t="inlineStr">
        <is>
          <t>The system identifies risky or invalid operations before they take effect (for example an invalid salary or age range, or a past deadline).</t>
        </is>
      </c>
      <c r="D58" s="14" t="n">
        <v>3</v>
      </c>
      <c r="E58" s="14" t="n">
        <v>0</v>
      </c>
      <c r="F58" s="14" t="n">
        <v>0</v>
      </c>
      <c r="G58" s="14" t="n">
        <v>0</v>
      </c>
      <c r="H58" s="14" t="n">
        <v>0</v>
      </c>
      <c r="I58" s="14">
        <f>5*D58+4*E58+3*F58+2*G58+1*H58</f>
        <v/>
      </c>
      <c r="J58" s="15">
        <f>I58/3</f>
        <v/>
      </c>
      <c r="K58" s="16">
        <f>IF(J58&gt;=4.51,"Highly Acceptable",IF(J58&gt;=3.51,"Acceptable",IF(J58&gt;=2.51,"Moderately Acceptable",IF(J58&gt;=1.51,"Slightly Acceptable","Not Acceptable"))))</f>
        <v/>
      </c>
    </row>
    <row r="59" ht="42" customHeight="1">
      <c r="A59" s="7" t="n">
        <v>38</v>
      </c>
      <c r="B59" s="27" t="inlineStr">
        <is>
          <t>Fail Safe</t>
        </is>
      </c>
      <c r="C59" s="27" t="inlineStr">
        <is>
          <t>The system reverts to a safe state on error and keeps data intact (an invalid form submission returns to the form without data loss).</t>
        </is>
      </c>
      <c r="D59" s="9" t="n">
        <v>3</v>
      </c>
      <c r="E59" s="9" t="n">
        <v>0</v>
      </c>
      <c r="F59" s="9" t="n">
        <v>0</v>
      </c>
      <c r="G59" s="9" t="n">
        <v>0</v>
      </c>
      <c r="H59" s="9" t="n">
        <v>0</v>
      </c>
      <c r="I59" s="9">
        <f>5*D59+4*E59+3*F59+2*G59+1*H59</f>
        <v/>
      </c>
      <c r="J59" s="10">
        <f>I59/3</f>
        <v/>
      </c>
      <c r="K59" s="11">
        <f>IF(J59&gt;=4.51,"Highly Acceptable",IF(J59&gt;=3.51,"Acceptable",IF(J59&gt;=2.51,"Moderately Acceptable",IF(J59&gt;=1.51,"Slightly Acceptable","Not Acceptable"))))</f>
        <v/>
      </c>
    </row>
    <row r="60" ht="42" customHeight="1">
      <c r="A60" s="12" t="n">
        <v>39</v>
      </c>
      <c r="B60" s="28" t="inlineStr">
        <is>
          <t>Hazard Warning</t>
        </is>
      </c>
      <c r="C60" s="28" t="inlineStr">
        <is>
          <t>The system gives timely warnings about potential problems (for example reminding the user to complete the profile before applying, or flagging missing required fields).</t>
        </is>
      </c>
      <c r="D60" s="14" t="n">
        <v>2</v>
      </c>
      <c r="E60" s="14" t="n">
        <v>1</v>
      </c>
      <c r="F60" s="14" t="n">
        <v>0</v>
      </c>
      <c r="G60" s="14" t="n">
        <v>0</v>
      </c>
      <c r="H60" s="14" t="n">
        <v>0</v>
      </c>
      <c r="I60" s="14">
        <f>5*D60+4*E60+3*F60+2*G60+1*H60</f>
        <v/>
      </c>
      <c r="J60" s="15">
        <f>I60/3</f>
        <v/>
      </c>
      <c r="K60" s="16">
        <f>IF(J60&gt;=4.51,"Highly Acceptable",IF(J60&gt;=3.51,"Acceptable",IF(J60&gt;=2.51,"Moderately Acceptable",IF(J60&gt;=1.51,"Slightly Acceptable","Not Acceptable"))))</f>
        <v/>
      </c>
    </row>
    <row r="61" ht="42" customHeight="1">
      <c r="A61" s="7" t="n">
        <v>40</v>
      </c>
      <c r="B61" s="27" t="inlineStr">
        <is>
          <t>Safe Integration</t>
        </is>
      </c>
      <c r="C61" s="27" t="inlineStr">
        <is>
          <t>The system keeps data consistent across its modules (a referral correctly links the jobseeker, vacancy, and employer, and withdrawal updates access consistently).</t>
        </is>
      </c>
      <c r="D61" s="9" t="n">
        <v>3</v>
      </c>
      <c r="E61" s="9" t="n">
        <v>0</v>
      </c>
      <c r="F61" s="9" t="n">
        <v>0</v>
      </c>
      <c r="G61" s="9" t="n">
        <v>0</v>
      </c>
      <c r="H61" s="9" t="n">
        <v>0</v>
      </c>
      <c r="I61" s="9">
        <f>5*D61+4*E61+3*F61+2*G61+1*H61</f>
        <v/>
      </c>
      <c r="J61" s="10">
        <f>I61/3</f>
        <v/>
      </c>
      <c r="K61" s="11">
        <f>IF(J61&gt;=4.51,"Highly Acceptable",IF(J61&gt;=3.51,"Acceptable",IF(J61&gt;=2.51,"Moderately Acceptable",IF(J61&gt;=1.51,"Slightly Acceptable","Not Acceptable"))))</f>
        <v/>
      </c>
    </row>
    <row r="62" ht="20" customHeight="1">
      <c r="A62" s="17" t="inlineStr">
        <is>
          <t>Overall Mean – I. Safety</t>
        </is>
      </c>
      <c r="B62" s="18" t="n"/>
      <c r="C62" s="18" t="n"/>
      <c r="D62" s="18" t="n"/>
      <c r="E62" s="18" t="n"/>
      <c r="F62" s="18" t="n"/>
      <c r="G62" s="18" t="n"/>
      <c r="H62" s="18" t="n"/>
      <c r="I62" s="19" t="inlineStr"/>
      <c r="J62" s="20">
        <f>AVERAGE(J57,J58,J59,J60,J61)</f>
        <v/>
      </c>
      <c r="K62" s="21">
        <f>IF(J62&gt;=4.51,"Highly Acceptable",IF(J62&gt;=3.51,"Acceptable",IF(J62&gt;=2.51,"Moderately Acceptable",IF(J62&gt;=1.51,"Slightly Acceptable","Not Acceptable"))))</f>
        <v/>
      </c>
    </row>
    <row r="63" ht="22" customHeight="1">
      <c r="A63" s="22" t="inlineStr">
        <is>
          <t>OVERALL WEIGHTED MEAN (ISO/IEC 25010:2023)</t>
        </is>
      </c>
      <c r="B63" s="23" t="n"/>
      <c r="C63" s="23" t="n"/>
      <c r="D63" s="23" t="n"/>
      <c r="E63" s="23" t="n"/>
      <c r="F63" s="23" t="n"/>
      <c r="G63" s="23" t="n"/>
      <c r="H63" s="23" t="n"/>
      <c r="I63" s="24" t="inlineStr"/>
      <c r="J63" s="25">
        <f>AVERAGE(J9,J14,J18,J28,J34,J42,J49,J55,J62)</f>
        <v/>
      </c>
      <c r="K63" s="26">
        <f>IF(J63&gt;=4.51,"Highly Acceptable",IF(J63&gt;=3.51,"Acceptable",IF(J63&gt;=2.51,"Moderately Acceptable",IF(J63&gt;=1.51,"Slightly Acceptable","Not Acceptable"))))</f>
        <v/>
      </c>
    </row>
  </sheetData>
  <mergeCells count="22">
    <mergeCell ref="A9:H9"/>
    <mergeCell ref="A15:K15"/>
    <mergeCell ref="A49:H49"/>
    <mergeCell ref="A1:K1"/>
    <mergeCell ref="A56:K56"/>
    <mergeCell ref="A18:H18"/>
    <mergeCell ref="A50:K50"/>
    <mergeCell ref="A55:H55"/>
    <mergeCell ref="A3:K3"/>
    <mergeCell ref="A2:K2"/>
    <mergeCell ref="A42:H42"/>
    <mergeCell ref="A14:H14"/>
    <mergeCell ref="A5:K5"/>
    <mergeCell ref="A62:H62"/>
    <mergeCell ref="A35:K35"/>
    <mergeCell ref="A29:K29"/>
    <mergeCell ref="A63:H63"/>
    <mergeCell ref="A43:K43"/>
    <mergeCell ref="A19:K19"/>
    <mergeCell ref="A28:H28"/>
    <mergeCell ref="A10:K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2026-10-08T05:45:02Z</dcterms:created>
  <dcterms:modified xmlns:dcterms="http://purl.org/dc/terms/" xmlns:xsi="http://www.w3.org/2001/XMLSchema-instance" xsi:type="dcterms:W3CDTF">2026-10-08T05:45:02Z</dcterms:modified>
</cp:coreProperties>
</file>